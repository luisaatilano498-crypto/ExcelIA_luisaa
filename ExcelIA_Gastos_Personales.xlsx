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12EA4E83-DEE9-F048-8F2F-65B0F753E88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tos" sheetId="1" r:id="rId1"/>
    <sheet name="Resumen" sheetId="2" r:id="rId2"/>
    <sheet name="Interpretación" sheetId="3" r:id="rId3"/>
    <sheet name="Documentación" sheetId="4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2" l="1"/>
  <c r="B2" i="1"/>
  <c r="B3" i="1"/>
  <c r="B4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2"/>
  <c r="A5" i="2"/>
  <c r="B5" i="2"/>
  <c r="A6" i="2"/>
  <c r="B6" i="2"/>
  <c r="A7" i="2"/>
  <c r="B7" i="2"/>
  <c r="A15" i="2"/>
  <c r="B15" i="2"/>
  <c r="A14" i="2"/>
  <c r="B14" i="2"/>
  <c r="A13" i="2"/>
  <c r="B13" i="2"/>
  <c r="A12" i="2"/>
  <c r="B12" i="2"/>
  <c r="A11" i="2"/>
  <c r="B11" i="2"/>
  <c r="A10" i="2"/>
  <c r="B10" i="2"/>
  <c r="A9" i="2"/>
  <c r="B9" i="2"/>
  <c r="A8" i="2"/>
  <c r="B8" i="2"/>
  <c r="E26" i="2"/>
  <c r="A9" i="3"/>
  <c r="G4" i="2"/>
  <c r="G5" i="2"/>
  <c r="G6" i="2"/>
  <c r="G7" i="2"/>
  <c r="G10" i="2"/>
  <c r="G9" i="2"/>
  <c r="G8" i="2"/>
  <c r="E25" i="2"/>
  <c r="H4" i="2"/>
  <c r="H5" i="2"/>
  <c r="H6" i="2"/>
  <c r="H10" i="2"/>
  <c r="H9" i="2"/>
  <c r="H8" i="2"/>
  <c r="H7" i="2"/>
  <c r="A8" i="3"/>
  <c r="C16" i="2"/>
  <c r="C17" i="2"/>
  <c r="C18" i="2"/>
  <c r="A16" i="2"/>
  <c r="A17" i="2"/>
  <c r="A18" i="2"/>
  <c r="E23" i="2"/>
  <c r="E24" i="2"/>
  <c r="A7" i="3"/>
  <c r="E27" i="2"/>
  <c r="C15" i="2"/>
  <c r="G11" i="2"/>
</calcChain>
</file>

<file path=xl/sharedStrings.xml><?xml version="1.0" encoding="utf-8"?>
<sst xmlns="http://schemas.openxmlformats.org/spreadsheetml/2006/main" count="245" uniqueCount="58">
  <si>
    <t>Fecha</t>
  </si>
  <si>
    <t>Mes</t>
  </si>
  <si>
    <t>Categoría</t>
  </si>
  <si>
    <t>Descripción</t>
  </si>
  <si>
    <t>Monto (COP)</t>
  </si>
  <si>
    <t>Nota</t>
  </si>
  <si>
    <t>Vivienda</t>
  </si>
  <si>
    <t>Arriendo</t>
  </si>
  <si>
    <t>Datos de ejemplo creados para este proyecto (azul = valores ingresados). Reemplázalos por tus gastos reales si quieres.</t>
  </si>
  <si>
    <t>Alimentación</t>
  </si>
  <si>
    <t>Mercado del mes</t>
  </si>
  <si>
    <t>Restaurantes y domicilios</t>
  </si>
  <si>
    <t>Transporte</t>
  </si>
  <si>
    <t>Transporte y gasolina</t>
  </si>
  <si>
    <t>Servicios</t>
  </si>
  <si>
    <t>Servicios públicos e internet</t>
  </si>
  <si>
    <t>Entretenimiento</t>
  </si>
  <si>
    <t>Salidas y suscripciones</t>
  </si>
  <si>
    <t>Salud</t>
  </si>
  <si>
    <t>Salud y bienestar</t>
  </si>
  <si>
    <t>Educación</t>
  </si>
  <si>
    <t>Materiales y cursos</t>
  </si>
  <si>
    <t>Resumen de gastos personales (COP)</t>
  </si>
  <si>
    <t>Gasto real</t>
  </si>
  <si>
    <t>Proyección</t>
  </si>
  <si>
    <t>Índice</t>
  </si>
  <si>
    <t>Total 12 meses</t>
  </si>
  <si>
    <t>% del total</t>
  </si>
  <si>
    <t>Total</t>
  </si>
  <si>
    <t>Meses 13-15 = proyección con tendencia lineal (función FORECAST).</t>
  </si>
  <si>
    <t>Pregunta clave: ¿En qué mes se proyecta el mayor gasto y en qué categoría gasto más?</t>
  </si>
  <si>
    <t>Mes con mayor gasto proyectado (próx. 3 meses)</t>
  </si>
  <si>
    <t>Gasto proyectado en ese mes</t>
  </si>
  <si>
    <t>Categoría donde más gasto</t>
  </si>
  <si>
    <t>Promedio mensual real</t>
  </si>
  <si>
    <t>Mes real con mayor gasto</t>
  </si>
  <si>
    <t>Interpretación de resultados</t>
  </si>
  <si>
    <t>Pregunta clave</t>
  </si>
  <si>
    <t>¿En qué mes se proyecta el mayor gasto personal y en qué categoría se concentra el dinero?</t>
  </si>
  <si>
    <t>Respuestas (calculadas con fórmulas en la hoja Resumen)</t>
  </si>
  <si>
    <t>Lectura</t>
  </si>
  <si>
    <t>• La línea de tendencia muestra que el gasto mensual sube de forma gradual; la proyección continúa esa tendencia, por eso el último mes proyectado es el más alto.</t>
  </si>
  <si>
    <t>• La vivienda (arriendo) es el gasto fijo más grande; Alimentación es el gasto más variable y el que más conviene vigilar.</t>
  </si>
  <si>
    <t>• Diciembre sube frente a noviembre y enero por mayor gasto en comida y entretenimiento: conviene planear un presupuesto especial para esa época.</t>
  </si>
  <si>
    <t>• Limitación: la proyección es una tendencia lineal simple sobre 12 meses; sirve como guía, no como predicción exacta.</t>
  </si>
  <si>
    <t>• Acción sugerida: fijar un tope mensual para Alimentación y Entretenimiento y revisar el resumen cada mes.</t>
  </si>
  <si>
    <t>Documentación del proyecto</t>
  </si>
  <si>
    <t>Tema elegido</t>
  </si>
  <si>
    <t>Control de gastos personales: análisis de 12 meses (nov-2025 a oct-2026) y proyección de los próximos 3 meses.</t>
  </si>
  <si>
    <t>¿En qué mes se proyecta el mayor gasto y en qué categoría gasto más?</t>
  </si>
  <si>
    <t>Fuente de datos</t>
  </si>
  <si>
    <t>Datos de ejemplo creados por el autor para este proyecto (96 filas, 8 gastos por mes, en pesos colombianos). No son datos bancarios reales.</t>
  </si>
  <si>
    <t>Funciones y herramientas</t>
  </si>
  <si>
    <t>SUMIFS (totales por mes y categoría), FORECAST (proyección lineal), INDEX/MATCH (respuestas), gráficos de línea y barras. Con IA de Excel: Ideas (Inicio → Ideas), hoja de pronóstico (Datos → Hoja de previsión) y gráficos recomendados (Insertar → Gráficos recomendados). [Completa aquí qué sugirió Ideas en tu Excel.]</t>
  </si>
  <si>
    <t>Conclusiones</t>
  </si>
  <si>
    <t>El gasto sube gradualmente mes a mes; el mayor gasto proyectado cae en el último mes del pronóstico; Vivienda y Alimentación concentran la mayor parte del dinero; diciembre sube por gasto en comida y entretenimiento. Detalle en la hoja Interpretación.</t>
  </si>
  <si>
    <t>Hojas del archivo</t>
  </si>
  <si>
    <t>Datos · Resumen · Interpretación ·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</si>
</sst>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%"/>
    <numFmt numFmtId="166" formatCode="mmmm\ yyyy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3" fillId="0" borderId="1" xfId="0" applyNumberFormat="1" applyFont="1" applyBorder="1"/>
    <xf numFmtId="17" fontId="3" fillId="0" borderId="1" xfId="0" applyNumberFormat="1" applyFont="1" applyBorder="1"/>
    <xf numFmtId="0" fontId="3" fillId="0" borderId="1" xfId="0" applyFont="1" applyBorder="1"/>
    <xf numFmtId="3" fontId="4" fillId="0" borderId="1" xfId="0" applyNumberFormat="1" applyFont="1" applyBorder="1"/>
    <xf numFmtId="0" fontId="5" fillId="0" borderId="0" xfId="0" applyFont="1" applyAlignment="1">
      <alignment vertical="top" wrapText="1"/>
    </xf>
    <xf numFmtId="0" fontId="6" fillId="0" borderId="0" xfId="0" applyFont="1"/>
    <xf numFmtId="0" fontId="1" fillId="2" borderId="1" xfId="0" applyFont="1" applyFill="1" applyBorder="1" applyAlignment="1">
      <alignment horizontal="center" wrapText="1"/>
    </xf>
    <xf numFmtId="3" fontId="3" fillId="0" borderId="1" xfId="0" applyNumberFormat="1" applyFont="1" applyBorder="1"/>
    <xf numFmtId="165" fontId="3" fillId="0" borderId="1" xfId="0" applyNumberFormat="1" applyFont="1" applyBorder="1"/>
    <xf numFmtId="3" fontId="2" fillId="0" borderId="0" xfId="0" applyNumberFormat="1" applyFont="1"/>
    <xf numFmtId="0" fontId="7" fillId="0" borderId="0" xfId="0" applyFont="1"/>
    <xf numFmtId="0" fontId="8" fillId="0" borderId="0" xfId="0" applyFont="1"/>
    <xf numFmtId="0" fontId="3" fillId="0" borderId="0" xfId="0" applyFont="1"/>
    <xf numFmtId="166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Gasto mensual real y proyección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Resumen!B3</c:f>
              <c:strCache>
                <c:ptCount val="1"/>
                <c:pt idx="0">
                  <c:v>Gasto real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Resumen!$A$4:$A$18</c:f>
              <c:numCache>
                <c:formatCode>mmm\-yy</c:formatCode>
                <c:ptCount val="15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</c:numCache>
            </c:numRef>
          </c:cat>
          <c:val>
            <c:numRef>
              <c:f>Resumen!$B$4:$B$18</c:f>
              <c:numCache>
                <c:formatCode>#,##0</c:formatCode>
                <c:ptCount val="15"/>
                <c:pt idx="0">
                  <c:v>2103000</c:v>
                </c:pt>
                <c:pt idx="1">
                  <c:v>2255000</c:v>
                </c:pt>
                <c:pt idx="2">
                  <c:v>2194000</c:v>
                </c:pt>
                <c:pt idx="3">
                  <c:v>2196000</c:v>
                </c:pt>
                <c:pt idx="4">
                  <c:v>2258000</c:v>
                </c:pt>
                <c:pt idx="5">
                  <c:v>2254000</c:v>
                </c:pt>
                <c:pt idx="6">
                  <c:v>2188000</c:v>
                </c:pt>
                <c:pt idx="7">
                  <c:v>2240000</c:v>
                </c:pt>
                <c:pt idx="8">
                  <c:v>2259000</c:v>
                </c:pt>
                <c:pt idx="9">
                  <c:v>2289000</c:v>
                </c:pt>
                <c:pt idx="10">
                  <c:v>2309000</c:v>
                </c:pt>
                <c:pt idx="11">
                  <c:v>2303000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3C-C349-BB0A-F470B9C73208}"/>
            </c:ext>
          </c:extLst>
        </c:ser>
        <c:ser>
          <c:idx val="1"/>
          <c:order val="1"/>
          <c:tx>
            <c:strRef>
              <c:f>Resumen!C3</c:f>
              <c:strCache>
                <c:ptCount val="1"/>
                <c:pt idx="0">
                  <c:v>Proyección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Resumen!$A$4:$A$18</c:f>
              <c:numCache>
                <c:formatCode>mmm\-yy</c:formatCode>
                <c:ptCount val="15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</c:numCache>
            </c:numRef>
          </c:cat>
          <c:val>
            <c:numRef>
              <c:f>Resumen!$C$4:$C$18</c:f>
              <c:numCache>
                <c:formatCode>#,##0</c:formatCode>
                <c:ptCount val="15"/>
                <c:pt idx="11">
                  <c:v>2303000</c:v>
                </c:pt>
                <c:pt idx="12">
                  <c:v>2317924</c:v>
                </c:pt>
                <c:pt idx="13">
                  <c:v>2330323</c:v>
                </c:pt>
                <c:pt idx="14">
                  <c:v>2342721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3C-C349-BB0A-F470B9C73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483174"/>
        <c:axId val="67416329"/>
      </c:lineChart>
      <c:dateAx>
        <c:axId val="2448317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US"/>
          </a:p>
        </c:txPr>
        <c:crossAx val="67416329"/>
        <c:crosses val="autoZero"/>
        <c:auto val="1"/>
        <c:lblOffset val="100"/>
        <c:baseTimeUnit val="months"/>
      </c:dateAx>
      <c:valAx>
        <c:axId val="67416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US"/>
          </a:p>
        </c:txPr>
        <c:crossAx val="244831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Gasto total por categoría (12 meses)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Resumen!G3</c:f>
              <c:strCache>
                <c:ptCount val="1"/>
                <c:pt idx="0">
                  <c:v>Total 12 meses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Resumen!$F$4:$F$10</c:f>
              <c:strCache>
                <c:ptCount val="7"/>
                <c:pt idx="0">
                  <c:v>Vivienda</c:v>
                </c:pt>
                <c:pt idx="1">
                  <c:v>Alimentación</c:v>
                </c:pt>
                <c:pt idx="2">
                  <c:v>Transporte</c:v>
                </c:pt>
                <c:pt idx="3">
                  <c:v>Servicios</c:v>
                </c:pt>
                <c:pt idx="4">
                  <c:v>Entretenimiento</c:v>
                </c:pt>
                <c:pt idx="5">
                  <c:v>Salud</c:v>
                </c:pt>
                <c:pt idx="6">
                  <c:v>Educación</c:v>
                </c:pt>
              </c:strCache>
            </c:strRef>
          </c:cat>
          <c:val>
            <c:numRef>
              <c:f>Resumen!$G$4:$G$10</c:f>
              <c:numCache>
                <c:formatCode>#,##0</c:formatCode>
                <c:ptCount val="7"/>
                <c:pt idx="0">
                  <c:v>11250000</c:v>
                </c:pt>
                <c:pt idx="1">
                  <c:v>6915000</c:v>
                </c:pt>
                <c:pt idx="2">
                  <c:v>2007000</c:v>
                </c:pt>
                <c:pt idx="3">
                  <c:v>2669000</c:v>
                </c:pt>
                <c:pt idx="4">
                  <c:v>1581000</c:v>
                </c:pt>
                <c:pt idx="5">
                  <c:v>1142000</c:v>
                </c:pt>
                <c:pt idx="6">
                  <c:v>1284000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7-4447-92B0-D83E5C6F9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22228"/>
        <c:axId val="97804712"/>
      </c:barChart>
      <c:catAx>
        <c:axId val="205222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US"/>
          </a:p>
        </c:txPr>
        <c:crossAx val="97804712"/>
        <c:crosses val="autoZero"/>
        <c:auto val="1"/>
        <c:lblAlgn val="ctr"/>
        <c:lblOffset val="100"/>
        <c:noMultiLvlLbl val="0"/>
      </c:catAx>
      <c:valAx>
        <c:axId val="978047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US"/>
          </a:p>
        </c:txPr>
        <c:crossAx val="205222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160560</xdr:rowOff>
    </xdr:from>
    <xdr:to>
      <xdr:col>19</xdr:col>
      <xdr:colOff>4680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19</xdr:col>
      <xdr:colOff>4680</xdr:colOff>
      <xdr:row>33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3.046875" customWidth="1"/>
    <col min="2" max="2" width="9.953125" customWidth="1"/>
    <col min="3" max="3" width="16.0078125" customWidth="1"/>
    <col min="4" max="4" width="32.015625" customWidth="1"/>
    <col min="5" max="5" width="14.9296875" customWidth="1"/>
    <col min="7" max="7" width="59.996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spans="1:7" ht="24.75" x14ac:dyDescent="0.2">
      <c r="A2" s="3">
        <v>45962</v>
      </c>
      <c r="B2" s="4">
        <f>DATE(YEAR(A2),MONTH(A2),1)</f>
        <v>45962</v>
      </c>
      <c r="C2" s="5" t="s">
        <v>6</v>
      </c>
      <c r="D2" s="5" t="s">
        <v>7</v>
      </c>
      <c r="E2" s="6">
        <v>900000</v>
      </c>
      <c r="G2" s="7" t="s">
        <v>8</v>
      </c>
    </row>
    <row r="3" spans="1:7" x14ac:dyDescent="0.2">
      <c r="A3" s="3">
        <v>45964</v>
      </c>
      <c r="B3" s="4">
        <f>DATE(YEAR(A3),MONTH(A3),1)</f>
        <v>45962</v>
      </c>
      <c r="C3" s="5" t="s">
        <v>9</v>
      </c>
      <c r="D3" s="5" t="s">
        <v>10</v>
      </c>
      <c r="E3" s="6">
        <v>358000</v>
      </c>
    </row>
    <row r="4" spans="1:7" x14ac:dyDescent="0.2">
      <c r="A4" s="3">
        <v>45973</v>
      </c>
      <c r="B4" s="4">
        <f>DATE(YEAR(A4),MONTH(A4),1)</f>
        <v>45962</v>
      </c>
      <c r="C4" s="5" t="s">
        <v>9</v>
      </c>
      <c r="D4" s="5" t="s">
        <v>11</v>
      </c>
      <c r="E4" s="6">
        <v>166000</v>
      </c>
    </row>
    <row r="5" spans="1:7" x14ac:dyDescent="0.2">
      <c r="A5" s="3">
        <v>45969</v>
      </c>
      <c r="B5" s="4">
        <f>DATE(YEAR(A5),MONTH(A5),1)</f>
        <v>45962</v>
      </c>
      <c r="C5" s="5" t="s">
        <v>12</v>
      </c>
      <c r="D5" s="5" t="s">
        <v>13</v>
      </c>
      <c r="E5" s="6">
        <v>154000</v>
      </c>
    </row>
    <row r="6" spans="1:7" x14ac:dyDescent="0.2">
      <c r="A6" s="3">
        <v>45976</v>
      </c>
      <c r="B6" s="4">
        <f>DATE(YEAR(A6),MONTH(A6),1)</f>
        <v>45962</v>
      </c>
      <c r="C6" s="5" t="s">
        <v>14</v>
      </c>
      <c r="D6" s="5" t="s">
        <v>15</v>
      </c>
      <c r="E6" s="6">
        <v>201000</v>
      </c>
    </row>
    <row r="7" spans="1:7" x14ac:dyDescent="0.2">
      <c r="A7" s="3">
        <v>45981</v>
      </c>
      <c r="B7" s="4">
        <f>DATE(YEAR(A7),MONTH(A7),1)</f>
        <v>45962</v>
      </c>
      <c r="C7" s="5" t="s">
        <v>16</v>
      </c>
      <c r="D7" s="5" t="s">
        <v>17</v>
      </c>
      <c r="E7" s="6">
        <v>125000</v>
      </c>
    </row>
    <row r="8" spans="1:7" x14ac:dyDescent="0.2">
      <c r="A8" s="3">
        <v>45983</v>
      </c>
      <c r="B8" s="4">
        <f>DATE(YEAR(A8),MONTH(A8),1)</f>
        <v>45962</v>
      </c>
      <c r="C8" s="5" t="s">
        <v>18</v>
      </c>
      <c r="D8" s="5" t="s">
        <v>19</v>
      </c>
      <c r="E8" s="6">
        <v>93000</v>
      </c>
    </row>
    <row r="9" spans="1:7" x14ac:dyDescent="0.2">
      <c r="A9" s="3">
        <v>45986</v>
      </c>
      <c r="B9" s="4">
        <f>DATE(YEAR(A9),MONTH(A9),1)</f>
        <v>45962</v>
      </c>
      <c r="C9" s="5" t="s">
        <v>20</v>
      </c>
      <c r="D9" s="5" t="s">
        <v>21</v>
      </c>
      <c r="E9" s="6">
        <v>106000</v>
      </c>
    </row>
    <row r="10" spans="1:7" x14ac:dyDescent="0.2">
      <c r="A10" s="3">
        <v>45992</v>
      </c>
      <c r="B10" s="4">
        <f>DATE(YEAR(A10),MONTH(A10),1)</f>
        <v>45992</v>
      </c>
      <c r="C10" s="5" t="s">
        <v>6</v>
      </c>
      <c r="D10" s="5" t="s">
        <v>7</v>
      </c>
      <c r="E10" s="6">
        <v>900000</v>
      </c>
    </row>
    <row r="11" spans="1:7" x14ac:dyDescent="0.2">
      <c r="A11" s="3">
        <v>45994</v>
      </c>
      <c r="B11" s="4">
        <f>DATE(YEAR(A11),MONTH(A11),1)</f>
        <v>45992</v>
      </c>
      <c r="C11" s="5" t="s">
        <v>9</v>
      </c>
      <c r="D11" s="5" t="s">
        <v>10</v>
      </c>
      <c r="E11" s="6">
        <v>430000</v>
      </c>
    </row>
    <row r="12" spans="1:7" x14ac:dyDescent="0.2">
      <c r="A12" s="3">
        <v>46003</v>
      </c>
      <c r="B12" s="4">
        <f>DATE(YEAR(A12),MONTH(A12),1)</f>
        <v>45992</v>
      </c>
      <c r="C12" s="5" t="s">
        <v>9</v>
      </c>
      <c r="D12" s="5" t="s">
        <v>11</v>
      </c>
      <c r="E12" s="6">
        <v>234000</v>
      </c>
    </row>
    <row r="13" spans="1:7" x14ac:dyDescent="0.2">
      <c r="A13" s="3">
        <v>45999</v>
      </c>
      <c r="B13" s="4">
        <f>DATE(YEAR(A13),MONTH(A13),1)</f>
        <v>45992</v>
      </c>
      <c r="C13" s="5" t="s">
        <v>12</v>
      </c>
      <c r="D13" s="5" t="s">
        <v>13</v>
      </c>
      <c r="E13" s="6">
        <v>150000</v>
      </c>
    </row>
    <row r="14" spans="1:7" x14ac:dyDescent="0.2">
      <c r="A14" s="3">
        <v>46006</v>
      </c>
      <c r="B14" s="4">
        <f>DATE(YEAR(A14),MONTH(A14),1)</f>
        <v>45992</v>
      </c>
      <c r="C14" s="5" t="s">
        <v>14</v>
      </c>
      <c r="D14" s="5" t="s">
        <v>15</v>
      </c>
      <c r="E14" s="6">
        <v>203000</v>
      </c>
    </row>
    <row r="15" spans="1:7" x14ac:dyDescent="0.2">
      <c r="A15" s="3">
        <v>46011</v>
      </c>
      <c r="B15" s="4">
        <f>DATE(YEAR(A15),MONTH(A15),1)</f>
        <v>45992</v>
      </c>
      <c r="C15" s="5" t="s">
        <v>16</v>
      </c>
      <c r="D15" s="5" t="s">
        <v>17</v>
      </c>
      <c r="E15" s="6">
        <v>158000</v>
      </c>
    </row>
    <row r="16" spans="1:7" x14ac:dyDescent="0.2">
      <c r="A16" s="3">
        <v>46013</v>
      </c>
      <c r="B16" s="4">
        <f>DATE(YEAR(A16),MONTH(A16),1)</f>
        <v>45992</v>
      </c>
      <c r="C16" s="5" t="s">
        <v>18</v>
      </c>
      <c r="D16" s="5" t="s">
        <v>19</v>
      </c>
      <c r="E16" s="6">
        <v>84000</v>
      </c>
    </row>
    <row r="17" spans="1:5" x14ac:dyDescent="0.2">
      <c r="A17" s="3">
        <v>46016</v>
      </c>
      <c r="B17" s="4">
        <f>DATE(YEAR(A17),MONTH(A17),1)</f>
        <v>45992</v>
      </c>
      <c r="C17" s="5" t="s">
        <v>20</v>
      </c>
      <c r="D17" s="5" t="s">
        <v>21</v>
      </c>
      <c r="E17" s="6">
        <v>96000</v>
      </c>
    </row>
    <row r="18" spans="1:5" x14ac:dyDescent="0.2">
      <c r="A18" s="3">
        <v>46023</v>
      </c>
      <c r="B18" s="4">
        <f>DATE(YEAR(A18),MONTH(A18),1)</f>
        <v>46023</v>
      </c>
      <c r="C18" s="5" t="s">
        <v>6</v>
      </c>
      <c r="D18" s="5" t="s">
        <v>7</v>
      </c>
      <c r="E18" s="6">
        <v>945000</v>
      </c>
    </row>
    <row r="19" spans="1:5" x14ac:dyDescent="0.2">
      <c r="A19" s="3">
        <v>46025</v>
      </c>
      <c r="B19" s="4">
        <f>DATE(YEAR(A19),MONTH(A19),1)</f>
        <v>46023</v>
      </c>
      <c r="C19" s="5" t="s">
        <v>9</v>
      </c>
      <c r="D19" s="5" t="s">
        <v>10</v>
      </c>
      <c r="E19" s="6">
        <v>367000</v>
      </c>
    </row>
    <row r="20" spans="1:5" x14ac:dyDescent="0.2">
      <c r="A20" s="3">
        <v>46034</v>
      </c>
      <c r="B20" s="4">
        <f>DATE(YEAR(A20),MONTH(A20),1)</f>
        <v>46023</v>
      </c>
      <c r="C20" s="5" t="s">
        <v>9</v>
      </c>
      <c r="D20" s="5" t="s">
        <v>11</v>
      </c>
      <c r="E20" s="6">
        <v>186000</v>
      </c>
    </row>
    <row r="21" spans="1:5" x14ac:dyDescent="0.2">
      <c r="A21" s="3">
        <v>46030</v>
      </c>
      <c r="B21" s="4">
        <f>DATE(YEAR(A21),MONTH(A21),1)</f>
        <v>46023</v>
      </c>
      <c r="C21" s="5" t="s">
        <v>12</v>
      </c>
      <c r="D21" s="5" t="s">
        <v>13</v>
      </c>
      <c r="E21" s="6">
        <v>157000</v>
      </c>
    </row>
    <row r="22" spans="1:5" x14ac:dyDescent="0.2">
      <c r="A22" s="3">
        <v>46037</v>
      </c>
      <c r="B22" s="4">
        <f>DATE(YEAR(A22),MONTH(A22),1)</f>
        <v>46023</v>
      </c>
      <c r="C22" s="5" t="s">
        <v>14</v>
      </c>
      <c r="D22" s="5" t="s">
        <v>15</v>
      </c>
      <c r="E22" s="6">
        <v>218000</v>
      </c>
    </row>
    <row r="23" spans="1:5" x14ac:dyDescent="0.2">
      <c r="A23" s="3">
        <v>46042</v>
      </c>
      <c r="B23" s="4">
        <f>DATE(YEAR(A23),MONTH(A23),1)</f>
        <v>46023</v>
      </c>
      <c r="C23" s="5" t="s">
        <v>16</v>
      </c>
      <c r="D23" s="5" t="s">
        <v>17</v>
      </c>
      <c r="E23" s="6">
        <v>129000</v>
      </c>
    </row>
    <row r="24" spans="1:5" x14ac:dyDescent="0.2">
      <c r="A24" s="3">
        <v>46044</v>
      </c>
      <c r="B24" s="4">
        <f>DATE(YEAR(A24),MONTH(A24),1)</f>
        <v>46023</v>
      </c>
      <c r="C24" s="5" t="s">
        <v>18</v>
      </c>
      <c r="D24" s="5" t="s">
        <v>19</v>
      </c>
      <c r="E24" s="6">
        <v>85000</v>
      </c>
    </row>
    <row r="25" spans="1:5" x14ac:dyDescent="0.2">
      <c r="A25" s="3">
        <v>46047</v>
      </c>
      <c r="B25" s="4">
        <f>DATE(YEAR(A25),MONTH(A25),1)</f>
        <v>46023</v>
      </c>
      <c r="C25" s="5" t="s">
        <v>20</v>
      </c>
      <c r="D25" s="5" t="s">
        <v>21</v>
      </c>
      <c r="E25" s="6">
        <v>107000</v>
      </c>
    </row>
    <row r="26" spans="1:5" x14ac:dyDescent="0.2">
      <c r="A26" s="3">
        <v>46054</v>
      </c>
      <c r="B26" s="4">
        <f>DATE(YEAR(A26),MONTH(A26),1)</f>
        <v>46054</v>
      </c>
      <c r="C26" s="5" t="s">
        <v>6</v>
      </c>
      <c r="D26" s="5" t="s">
        <v>7</v>
      </c>
      <c r="E26" s="6">
        <v>945000</v>
      </c>
    </row>
    <row r="27" spans="1:5" x14ac:dyDescent="0.2">
      <c r="A27" s="3">
        <v>46056</v>
      </c>
      <c r="B27" s="4">
        <f>DATE(YEAR(A27),MONTH(A27),1)</f>
        <v>46054</v>
      </c>
      <c r="C27" s="5" t="s">
        <v>9</v>
      </c>
      <c r="D27" s="5" t="s">
        <v>10</v>
      </c>
      <c r="E27" s="6">
        <v>374000</v>
      </c>
    </row>
    <row r="28" spans="1:5" x14ac:dyDescent="0.2">
      <c r="A28" s="3">
        <v>46065</v>
      </c>
      <c r="B28" s="4">
        <f>DATE(YEAR(A28),MONTH(A28),1)</f>
        <v>46054</v>
      </c>
      <c r="C28" s="5" t="s">
        <v>9</v>
      </c>
      <c r="D28" s="5" t="s">
        <v>11</v>
      </c>
      <c r="E28" s="6">
        <v>182000</v>
      </c>
    </row>
    <row r="29" spans="1:5" x14ac:dyDescent="0.2">
      <c r="A29" s="3">
        <v>46061</v>
      </c>
      <c r="B29" s="4">
        <f>DATE(YEAR(A29),MONTH(A29),1)</f>
        <v>46054</v>
      </c>
      <c r="C29" s="5" t="s">
        <v>12</v>
      </c>
      <c r="D29" s="5" t="s">
        <v>13</v>
      </c>
      <c r="E29" s="6">
        <v>157000</v>
      </c>
    </row>
    <row r="30" spans="1:5" x14ac:dyDescent="0.2">
      <c r="A30" s="3">
        <v>46068</v>
      </c>
      <c r="B30" s="4">
        <f>DATE(YEAR(A30),MONTH(A30),1)</f>
        <v>46054</v>
      </c>
      <c r="C30" s="5" t="s">
        <v>14</v>
      </c>
      <c r="D30" s="5" t="s">
        <v>15</v>
      </c>
      <c r="E30" s="6">
        <v>233000</v>
      </c>
    </row>
    <row r="31" spans="1:5" x14ac:dyDescent="0.2">
      <c r="A31" s="3">
        <v>46073</v>
      </c>
      <c r="B31" s="4">
        <f>DATE(YEAR(A31),MONTH(A31),1)</f>
        <v>46054</v>
      </c>
      <c r="C31" s="5" t="s">
        <v>16</v>
      </c>
      <c r="D31" s="5" t="s">
        <v>17</v>
      </c>
      <c r="E31" s="6">
        <v>121000</v>
      </c>
    </row>
    <row r="32" spans="1:5" x14ac:dyDescent="0.2">
      <c r="A32" s="3">
        <v>46075</v>
      </c>
      <c r="B32" s="4">
        <f>DATE(YEAR(A32),MONTH(A32),1)</f>
        <v>46054</v>
      </c>
      <c r="C32" s="5" t="s">
        <v>18</v>
      </c>
      <c r="D32" s="5" t="s">
        <v>19</v>
      </c>
      <c r="E32" s="6">
        <v>87000</v>
      </c>
    </row>
    <row r="33" spans="1:5" x14ac:dyDescent="0.2">
      <c r="A33" s="3">
        <v>46078</v>
      </c>
      <c r="B33" s="4">
        <f>DATE(YEAR(A33),MONTH(A33),1)</f>
        <v>46054</v>
      </c>
      <c r="C33" s="5" t="s">
        <v>20</v>
      </c>
      <c r="D33" s="5" t="s">
        <v>21</v>
      </c>
      <c r="E33" s="6">
        <v>97000</v>
      </c>
    </row>
    <row r="34" spans="1:5" x14ac:dyDescent="0.2">
      <c r="A34" s="3">
        <v>46082</v>
      </c>
      <c r="B34" s="4">
        <f>DATE(YEAR(A34),MONTH(A34),1)</f>
        <v>46082</v>
      </c>
      <c r="C34" s="5" t="s">
        <v>6</v>
      </c>
      <c r="D34" s="5" t="s">
        <v>7</v>
      </c>
      <c r="E34" s="6">
        <v>945000</v>
      </c>
    </row>
    <row r="35" spans="1:5" x14ac:dyDescent="0.2">
      <c r="A35" s="3">
        <v>46084</v>
      </c>
      <c r="B35" s="4">
        <f>DATE(YEAR(A35),MONTH(A35),1)</f>
        <v>46082</v>
      </c>
      <c r="C35" s="5" t="s">
        <v>9</v>
      </c>
      <c r="D35" s="5" t="s">
        <v>10</v>
      </c>
      <c r="E35" s="6">
        <v>387000</v>
      </c>
    </row>
    <row r="36" spans="1:5" x14ac:dyDescent="0.2">
      <c r="A36" s="3">
        <v>46093</v>
      </c>
      <c r="B36" s="4">
        <f>DATE(YEAR(A36),MONTH(A36),1)</f>
        <v>46082</v>
      </c>
      <c r="C36" s="5" t="s">
        <v>9</v>
      </c>
      <c r="D36" s="5" t="s">
        <v>11</v>
      </c>
      <c r="E36" s="6">
        <v>192000</v>
      </c>
    </row>
    <row r="37" spans="1:5" x14ac:dyDescent="0.2">
      <c r="A37" s="3">
        <v>46089</v>
      </c>
      <c r="B37" s="4">
        <f>DATE(YEAR(A37),MONTH(A37),1)</f>
        <v>46082</v>
      </c>
      <c r="C37" s="5" t="s">
        <v>12</v>
      </c>
      <c r="D37" s="5" t="s">
        <v>13</v>
      </c>
      <c r="E37" s="6">
        <v>176000</v>
      </c>
    </row>
    <row r="38" spans="1:5" x14ac:dyDescent="0.2">
      <c r="A38" s="3">
        <v>46096</v>
      </c>
      <c r="B38" s="4">
        <f>DATE(YEAR(A38),MONTH(A38),1)</f>
        <v>46082</v>
      </c>
      <c r="C38" s="5" t="s">
        <v>14</v>
      </c>
      <c r="D38" s="5" t="s">
        <v>15</v>
      </c>
      <c r="E38" s="6">
        <v>228000</v>
      </c>
    </row>
    <row r="39" spans="1:5" x14ac:dyDescent="0.2">
      <c r="A39" s="3">
        <v>46101</v>
      </c>
      <c r="B39" s="4">
        <f>DATE(YEAR(A39),MONTH(A39),1)</f>
        <v>46082</v>
      </c>
      <c r="C39" s="5" t="s">
        <v>16</v>
      </c>
      <c r="D39" s="5" t="s">
        <v>17</v>
      </c>
      <c r="E39" s="6">
        <v>126000</v>
      </c>
    </row>
    <row r="40" spans="1:5" x14ac:dyDescent="0.2">
      <c r="A40" s="3">
        <v>46103</v>
      </c>
      <c r="B40" s="4">
        <f>DATE(YEAR(A40),MONTH(A40),1)</f>
        <v>46082</v>
      </c>
      <c r="C40" s="5" t="s">
        <v>18</v>
      </c>
      <c r="D40" s="5" t="s">
        <v>19</v>
      </c>
      <c r="E40" s="6">
        <v>101000</v>
      </c>
    </row>
    <row r="41" spans="1:5" x14ac:dyDescent="0.2">
      <c r="A41" s="3">
        <v>46106</v>
      </c>
      <c r="B41" s="4">
        <f>DATE(YEAR(A41),MONTH(A41),1)</f>
        <v>46082</v>
      </c>
      <c r="C41" s="5" t="s">
        <v>20</v>
      </c>
      <c r="D41" s="5" t="s">
        <v>21</v>
      </c>
      <c r="E41" s="6">
        <v>103000</v>
      </c>
    </row>
    <row r="42" spans="1:5" x14ac:dyDescent="0.2">
      <c r="A42" s="3">
        <v>46113</v>
      </c>
      <c r="B42" s="4">
        <f>DATE(YEAR(A42),MONTH(A42),1)</f>
        <v>46113</v>
      </c>
      <c r="C42" s="5" t="s">
        <v>6</v>
      </c>
      <c r="D42" s="5" t="s">
        <v>7</v>
      </c>
      <c r="E42" s="6">
        <v>945000</v>
      </c>
    </row>
    <row r="43" spans="1:5" x14ac:dyDescent="0.2">
      <c r="A43" s="3">
        <v>46115</v>
      </c>
      <c r="B43" s="4">
        <f>DATE(YEAR(A43),MONTH(A43),1)</f>
        <v>46113</v>
      </c>
      <c r="C43" s="5" t="s">
        <v>9</v>
      </c>
      <c r="D43" s="5" t="s">
        <v>10</v>
      </c>
      <c r="E43" s="6">
        <v>374000</v>
      </c>
    </row>
    <row r="44" spans="1:5" x14ac:dyDescent="0.2">
      <c r="A44" s="3">
        <v>46124</v>
      </c>
      <c r="B44" s="4">
        <f>DATE(YEAR(A44),MONTH(A44),1)</f>
        <v>46113</v>
      </c>
      <c r="C44" s="5" t="s">
        <v>9</v>
      </c>
      <c r="D44" s="5" t="s">
        <v>11</v>
      </c>
      <c r="E44" s="6">
        <v>201000</v>
      </c>
    </row>
    <row r="45" spans="1:5" x14ac:dyDescent="0.2">
      <c r="A45" s="3">
        <v>46120</v>
      </c>
      <c r="B45" s="4">
        <f>DATE(YEAR(A45),MONTH(A45),1)</f>
        <v>46113</v>
      </c>
      <c r="C45" s="5" t="s">
        <v>12</v>
      </c>
      <c r="D45" s="5" t="s">
        <v>13</v>
      </c>
      <c r="E45" s="6">
        <v>173000</v>
      </c>
    </row>
    <row r="46" spans="1:5" x14ac:dyDescent="0.2">
      <c r="A46" s="3">
        <v>46127</v>
      </c>
      <c r="B46" s="4">
        <f>DATE(YEAR(A46),MONTH(A46),1)</f>
        <v>46113</v>
      </c>
      <c r="C46" s="5" t="s">
        <v>14</v>
      </c>
      <c r="D46" s="5" t="s">
        <v>15</v>
      </c>
      <c r="E46" s="6">
        <v>235000</v>
      </c>
    </row>
    <row r="47" spans="1:5" x14ac:dyDescent="0.2">
      <c r="A47" s="3">
        <v>46132</v>
      </c>
      <c r="B47" s="4">
        <f>DATE(YEAR(A47),MONTH(A47),1)</f>
        <v>46113</v>
      </c>
      <c r="C47" s="5" t="s">
        <v>16</v>
      </c>
      <c r="D47" s="5" t="s">
        <v>17</v>
      </c>
      <c r="E47" s="6">
        <v>129000</v>
      </c>
    </row>
    <row r="48" spans="1:5" x14ac:dyDescent="0.2">
      <c r="A48" s="3">
        <v>46134</v>
      </c>
      <c r="B48" s="4">
        <f>DATE(YEAR(A48),MONTH(A48),1)</f>
        <v>46113</v>
      </c>
      <c r="C48" s="5" t="s">
        <v>18</v>
      </c>
      <c r="D48" s="5" t="s">
        <v>19</v>
      </c>
      <c r="E48" s="6">
        <v>99000</v>
      </c>
    </row>
    <row r="49" spans="1:5" x14ac:dyDescent="0.2">
      <c r="A49" s="3">
        <v>46137</v>
      </c>
      <c r="B49" s="4">
        <f>DATE(YEAR(A49),MONTH(A49),1)</f>
        <v>46113</v>
      </c>
      <c r="C49" s="5" t="s">
        <v>20</v>
      </c>
      <c r="D49" s="5" t="s">
        <v>21</v>
      </c>
      <c r="E49" s="6">
        <v>98000</v>
      </c>
    </row>
    <row r="50" spans="1:5" x14ac:dyDescent="0.2">
      <c r="A50" s="3">
        <v>46143</v>
      </c>
      <c r="B50" s="4">
        <f>DATE(YEAR(A50),MONTH(A50),1)</f>
        <v>46143</v>
      </c>
      <c r="C50" s="5" t="s">
        <v>6</v>
      </c>
      <c r="D50" s="5" t="s">
        <v>7</v>
      </c>
      <c r="E50" s="6">
        <v>945000</v>
      </c>
    </row>
    <row r="51" spans="1:5" x14ac:dyDescent="0.2">
      <c r="A51" s="3">
        <v>46145</v>
      </c>
      <c r="B51" s="4">
        <f>DATE(YEAR(A51),MONTH(A51),1)</f>
        <v>46143</v>
      </c>
      <c r="C51" s="5" t="s">
        <v>9</v>
      </c>
      <c r="D51" s="5" t="s">
        <v>10</v>
      </c>
      <c r="E51" s="6">
        <v>359000</v>
      </c>
    </row>
    <row r="52" spans="1:5" x14ac:dyDescent="0.2">
      <c r="A52" s="3">
        <v>46154</v>
      </c>
      <c r="B52" s="4">
        <f>DATE(YEAR(A52),MONTH(A52),1)</f>
        <v>46143</v>
      </c>
      <c r="C52" s="5" t="s">
        <v>9</v>
      </c>
      <c r="D52" s="5" t="s">
        <v>11</v>
      </c>
      <c r="E52" s="6">
        <v>186000</v>
      </c>
    </row>
    <row r="53" spans="1:5" x14ac:dyDescent="0.2">
      <c r="A53" s="3">
        <v>46150</v>
      </c>
      <c r="B53" s="4">
        <f>DATE(YEAR(A53),MONTH(A53),1)</f>
        <v>46143</v>
      </c>
      <c r="C53" s="5" t="s">
        <v>12</v>
      </c>
      <c r="D53" s="5" t="s">
        <v>13</v>
      </c>
      <c r="E53" s="6">
        <v>160000</v>
      </c>
    </row>
    <row r="54" spans="1:5" x14ac:dyDescent="0.2">
      <c r="A54" s="3">
        <v>46157</v>
      </c>
      <c r="B54" s="4">
        <f>DATE(YEAR(A54),MONTH(A54),1)</f>
        <v>46143</v>
      </c>
      <c r="C54" s="5" t="s">
        <v>14</v>
      </c>
      <c r="D54" s="5" t="s">
        <v>15</v>
      </c>
      <c r="E54" s="6">
        <v>215000</v>
      </c>
    </row>
    <row r="55" spans="1:5" x14ac:dyDescent="0.2">
      <c r="A55" s="3">
        <v>46162</v>
      </c>
      <c r="B55" s="4">
        <f>DATE(YEAR(A55),MONTH(A55),1)</f>
        <v>46143</v>
      </c>
      <c r="C55" s="5" t="s">
        <v>16</v>
      </c>
      <c r="D55" s="5" t="s">
        <v>17</v>
      </c>
      <c r="E55" s="6">
        <v>120000</v>
      </c>
    </row>
    <row r="56" spans="1:5" x14ac:dyDescent="0.2">
      <c r="A56" s="3">
        <v>46164</v>
      </c>
      <c r="B56" s="4">
        <f>DATE(YEAR(A56),MONTH(A56),1)</f>
        <v>46143</v>
      </c>
      <c r="C56" s="5" t="s">
        <v>18</v>
      </c>
      <c r="D56" s="5" t="s">
        <v>19</v>
      </c>
      <c r="E56" s="6">
        <v>93000</v>
      </c>
    </row>
    <row r="57" spans="1:5" x14ac:dyDescent="0.2">
      <c r="A57" s="3">
        <v>46167</v>
      </c>
      <c r="B57" s="4">
        <f>DATE(YEAR(A57),MONTH(A57),1)</f>
        <v>46143</v>
      </c>
      <c r="C57" s="5" t="s">
        <v>20</v>
      </c>
      <c r="D57" s="5" t="s">
        <v>21</v>
      </c>
      <c r="E57" s="6">
        <v>110000</v>
      </c>
    </row>
    <row r="58" spans="1:5" x14ac:dyDescent="0.2">
      <c r="A58" s="3">
        <v>46174</v>
      </c>
      <c r="B58" s="4">
        <f>DATE(YEAR(A58),MONTH(A58),1)</f>
        <v>46174</v>
      </c>
      <c r="C58" s="5" t="s">
        <v>6</v>
      </c>
      <c r="D58" s="5" t="s">
        <v>7</v>
      </c>
      <c r="E58" s="6">
        <v>945000</v>
      </c>
    </row>
    <row r="59" spans="1:5" x14ac:dyDescent="0.2">
      <c r="A59" s="3">
        <v>46176</v>
      </c>
      <c r="B59" s="4">
        <f>DATE(YEAR(A59),MONTH(A59),1)</f>
        <v>46174</v>
      </c>
      <c r="C59" s="5" t="s">
        <v>9</v>
      </c>
      <c r="D59" s="5" t="s">
        <v>10</v>
      </c>
      <c r="E59" s="6">
        <v>371000</v>
      </c>
    </row>
    <row r="60" spans="1:5" x14ac:dyDescent="0.2">
      <c r="A60" s="3">
        <v>46185</v>
      </c>
      <c r="B60" s="4">
        <f>DATE(YEAR(A60),MONTH(A60),1)</f>
        <v>46174</v>
      </c>
      <c r="C60" s="5" t="s">
        <v>9</v>
      </c>
      <c r="D60" s="5" t="s">
        <v>11</v>
      </c>
      <c r="E60" s="6">
        <v>191000</v>
      </c>
    </row>
    <row r="61" spans="1:5" x14ac:dyDescent="0.2">
      <c r="A61" s="3">
        <v>46181</v>
      </c>
      <c r="B61" s="4">
        <f>DATE(YEAR(A61),MONTH(A61),1)</f>
        <v>46174</v>
      </c>
      <c r="C61" s="5" t="s">
        <v>12</v>
      </c>
      <c r="D61" s="5" t="s">
        <v>13</v>
      </c>
      <c r="E61" s="6">
        <v>165000</v>
      </c>
    </row>
    <row r="62" spans="1:5" x14ac:dyDescent="0.2">
      <c r="A62" s="3">
        <v>46188</v>
      </c>
      <c r="B62" s="4">
        <f>DATE(YEAR(A62),MONTH(A62),1)</f>
        <v>46174</v>
      </c>
      <c r="C62" s="5" t="s">
        <v>14</v>
      </c>
      <c r="D62" s="5" t="s">
        <v>15</v>
      </c>
      <c r="E62" s="6">
        <v>219000</v>
      </c>
    </row>
    <row r="63" spans="1:5" x14ac:dyDescent="0.2">
      <c r="A63" s="3">
        <v>46193</v>
      </c>
      <c r="B63" s="4">
        <f>DATE(YEAR(A63),MONTH(A63),1)</f>
        <v>46174</v>
      </c>
      <c r="C63" s="5" t="s">
        <v>16</v>
      </c>
      <c r="D63" s="5" t="s">
        <v>17</v>
      </c>
      <c r="E63" s="6">
        <v>139000</v>
      </c>
    </row>
    <row r="64" spans="1:5" x14ac:dyDescent="0.2">
      <c r="A64" s="3">
        <v>46195</v>
      </c>
      <c r="B64" s="4">
        <f>DATE(YEAR(A64),MONTH(A64),1)</f>
        <v>46174</v>
      </c>
      <c r="C64" s="5" t="s">
        <v>18</v>
      </c>
      <c r="D64" s="5" t="s">
        <v>19</v>
      </c>
      <c r="E64" s="6">
        <v>100000</v>
      </c>
    </row>
    <row r="65" spans="1:5" x14ac:dyDescent="0.2">
      <c r="A65" s="3">
        <v>46198</v>
      </c>
      <c r="B65" s="4">
        <f>DATE(YEAR(A65),MONTH(A65),1)</f>
        <v>46174</v>
      </c>
      <c r="C65" s="5" t="s">
        <v>20</v>
      </c>
      <c r="D65" s="5" t="s">
        <v>21</v>
      </c>
      <c r="E65" s="6">
        <v>110000</v>
      </c>
    </row>
    <row r="66" spans="1:5" x14ac:dyDescent="0.2">
      <c r="A66" s="3">
        <v>46204</v>
      </c>
      <c r="B66" s="4">
        <f>DATE(YEAR(A66),MONTH(A66),1)</f>
        <v>46204</v>
      </c>
      <c r="C66" s="5" t="s">
        <v>6</v>
      </c>
      <c r="D66" s="5" t="s">
        <v>7</v>
      </c>
      <c r="E66" s="6">
        <v>945000</v>
      </c>
    </row>
    <row r="67" spans="1:5" x14ac:dyDescent="0.2">
      <c r="A67" s="3">
        <v>46206</v>
      </c>
      <c r="B67" s="4">
        <f>DATE(YEAR(A67),MONTH(A67),1)</f>
        <v>46204</v>
      </c>
      <c r="C67" s="5" t="s">
        <v>9</v>
      </c>
      <c r="D67" s="5" t="s">
        <v>10</v>
      </c>
      <c r="E67" s="6">
        <v>363000</v>
      </c>
    </row>
    <row r="68" spans="1:5" x14ac:dyDescent="0.2">
      <c r="A68" s="3">
        <v>46215</v>
      </c>
      <c r="B68" s="4">
        <f>DATE(YEAR(A68),MONTH(A68),1)</f>
        <v>46204</v>
      </c>
      <c r="C68" s="5" t="s">
        <v>9</v>
      </c>
      <c r="D68" s="5" t="s">
        <v>11</v>
      </c>
      <c r="E68" s="6">
        <v>205000</v>
      </c>
    </row>
    <row r="69" spans="1:5" x14ac:dyDescent="0.2">
      <c r="A69" s="3">
        <v>46211</v>
      </c>
      <c r="B69" s="4">
        <f>DATE(YEAR(A69),MONTH(A69),1)</f>
        <v>46204</v>
      </c>
      <c r="C69" s="5" t="s">
        <v>12</v>
      </c>
      <c r="D69" s="5" t="s">
        <v>13</v>
      </c>
      <c r="E69" s="6">
        <v>166000</v>
      </c>
    </row>
    <row r="70" spans="1:5" x14ac:dyDescent="0.2">
      <c r="A70" s="3">
        <v>46218</v>
      </c>
      <c r="B70" s="4">
        <f>DATE(YEAR(A70),MONTH(A70),1)</f>
        <v>46204</v>
      </c>
      <c r="C70" s="5" t="s">
        <v>14</v>
      </c>
      <c r="D70" s="5" t="s">
        <v>15</v>
      </c>
      <c r="E70" s="6">
        <v>226000</v>
      </c>
    </row>
    <row r="71" spans="1:5" x14ac:dyDescent="0.2">
      <c r="A71" s="3">
        <v>46223</v>
      </c>
      <c r="B71" s="4">
        <f>DATE(YEAR(A71),MONTH(A71),1)</f>
        <v>46204</v>
      </c>
      <c r="C71" s="5" t="s">
        <v>16</v>
      </c>
      <c r="D71" s="5" t="s">
        <v>17</v>
      </c>
      <c r="E71" s="6">
        <v>142000</v>
      </c>
    </row>
    <row r="72" spans="1:5" x14ac:dyDescent="0.2">
      <c r="A72" s="3">
        <v>46225</v>
      </c>
      <c r="B72" s="4">
        <f>DATE(YEAR(A72),MONTH(A72),1)</f>
        <v>46204</v>
      </c>
      <c r="C72" s="5" t="s">
        <v>18</v>
      </c>
      <c r="D72" s="5" t="s">
        <v>19</v>
      </c>
      <c r="E72" s="6">
        <v>101000</v>
      </c>
    </row>
    <row r="73" spans="1:5" x14ac:dyDescent="0.2">
      <c r="A73" s="3">
        <v>46228</v>
      </c>
      <c r="B73" s="4">
        <f>DATE(YEAR(A73),MONTH(A73),1)</f>
        <v>46204</v>
      </c>
      <c r="C73" s="5" t="s">
        <v>20</v>
      </c>
      <c r="D73" s="5" t="s">
        <v>21</v>
      </c>
      <c r="E73" s="6">
        <v>111000</v>
      </c>
    </row>
    <row r="74" spans="1:5" x14ac:dyDescent="0.2">
      <c r="A74" s="3">
        <v>46235</v>
      </c>
      <c r="B74" s="4">
        <f>DATE(YEAR(A74),MONTH(A74),1)</f>
        <v>46235</v>
      </c>
      <c r="C74" s="5" t="s">
        <v>6</v>
      </c>
      <c r="D74" s="5" t="s">
        <v>7</v>
      </c>
      <c r="E74" s="6">
        <v>945000</v>
      </c>
    </row>
    <row r="75" spans="1:5" x14ac:dyDescent="0.2">
      <c r="A75" s="3">
        <v>46237</v>
      </c>
      <c r="B75" s="4">
        <f>DATE(YEAR(A75),MONTH(A75),1)</f>
        <v>46235</v>
      </c>
      <c r="C75" s="5" t="s">
        <v>9</v>
      </c>
      <c r="D75" s="5" t="s">
        <v>10</v>
      </c>
      <c r="E75" s="6">
        <v>399000</v>
      </c>
    </row>
    <row r="76" spans="1:5" x14ac:dyDescent="0.2">
      <c r="A76" s="3">
        <v>46246</v>
      </c>
      <c r="B76" s="4">
        <f>DATE(YEAR(A76),MONTH(A76),1)</f>
        <v>46235</v>
      </c>
      <c r="C76" s="5" t="s">
        <v>9</v>
      </c>
      <c r="D76" s="5" t="s">
        <v>11</v>
      </c>
      <c r="E76" s="6">
        <v>210000</v>
      </c>
    </row>
    <row r="77" spans="1:5" x14ac:dyDescent="0.2">
      <c r="A77" s="3">
        <v>46242</v>
      </c>
      <c r="B77" s="4">
        <f>DATE(YEAR(A77),MONTH(A77),1)</f>
        <v>46235</v>
      </c>
      <c r="C77" s="5" t="s">
        <v>12</v>
      </c>
      <c r="D77" s="5" t="s">
        <v>13</v>
      </c>
      <c r="E77" s="6">
        <v>185000</v>
      </c>
    </row>
    <row r="78" spans="1:5" x14ac:dyDescent="0.2">
      <c r="A78" s="3">
        <v>46249</v>
      </c>
      <c r="B78" s="4">
        <f>DATE(YEAR(A78),MONTH(A78),1)</f>
        <v>46235</v>
      </c>
      <c r="C78" s="5" t="s">
        <v>14</v>
      </c>
      <c r="D78" s="5" t="s">
        <v>15</v>
      </c>
      <c r="E78" s="6">
        <v>223000</v>
      </c>
    </row>
    <row r="79" spans="1:5" x14ac:dyDescent="0.2">
      <c r="A79" s="3">
        <v>46254</v>
      </c>
      <c r="B79" s="4">
        <f>DATE(YEAR(A79),MONTH(A79),1)</f>
        <v>46235</v>
      </c>
      <c r="C79" s="5" t="s">
        <v>16</v>
      </c>
      <c r="D79" s="5" t="s">
        <v>17</v>
      </c>
      <c r="E79" s="6">
        <v>123000</v>
      </c>
    </row>
    <row r="80" spans="1:5" x14ac:dyDescent="0.2">
      <c r="A80" s="3">
        <v>46256</v>
      </c>
      <c r="B80" s="4">
        <f>DATE(YEAR(A80),MONTH(A80),1)</f>
        <v>46235</v>
      </c>
      <c r="C80" s="5" t="s">
        <v>18</v>
      </c>
      <c r="D80" s="5" t="s">
        <v>19</v>
      </c>
      <c r="E80" s="6">
        <v>97000</v>
      </c>
    </row>
    <row r="81" spans="1:5" x14ac:dyDescent="0.2">
      <c r="A81" s="3">
        <v>46259</v>
      </c>
      <c r="B81" s="4">
        <f>DATE(YEAR(A81),MONTH(A81),1)</f>
        <v>46235</v>
      </c>
      <c r="C81" s="5" t="s">
        <v>20</v>
      </c>
      <c r="D81" s="5" t="s">
        <v>21</v>
      </c>
      <c r="E81" s="6">
        <v>107000</v>
      </c>
    </row>
    <row r="82" spans="1:5" x14ac:dyDescent="0.2">
      <c r="A82" s="3">
        <v>46266</v>
      </c>
      <c r="B82" s="4">
        <f>DATE(YEAR(A82),MONTH(A82),1)</f>
        <v>46266</v>
      </c>
      <c r="C82" s="5" t="s">
        <v>6</v>
      </c>
      <c r="D82" s="5" t="s">
        <v>7</v>
      </c>
      <c r="E82" s="6">
        <v>945000</v>
      </c>
    </row>
    <row r="83" spans="1:5" x14ac:dyDescent="0.2">
      <c r="A83" s="3">
        <v>46268</v>
      </c>
      <c r="B83" s="4">
        <f>DATE(YEAR(A83),MONTH(A83),1)</f>
        <v>46266</v>
      </c>
      <c r="C83" s="5" t="s">
        <v>9</v>
      </c>
      <c r="D83" s="5" t="s">
        <v>10</v>
      </c>
      <c r="E83" s="6">
        <v>374000</v>
      </c>
    </row>
    <row r="84" spans="1:5" x14ac:dyDescent="0.2">
      <c r="A84" s="3">
        <v>46277</v>
      </c>
      <c r="B84" s="4">
        <f>DATE(YEAR(A84),MONTH(A84),1)</f>
        <v>46266</v>
      </c>
      <c r="C84" s="5" t="s">
        <v>9</v>
      </c>
      <c r="D84" s="5" t="s">
        <v>11</v>
      </c>
      <c r="E84" s="6">
        <v>216000</v>
      </c>
    </row>
    <row r="85" spans="1:5" x14ac:dyDescent="0.2">
      <c r="A85" s="3">
        <v>46273</v>
      </c>
      <c r="B85" s="4">
        <f>DATE(YEAR(A85),MONTH(A85),1)</f>
        <v>46266</v>
      </c>
      <c r="C85" s="5" t="s">
        <v>12</v>
      </c>
      <c r="D85" s="5" t="s">
        <v>13</v>
      </c>
      <c r="E85" s="6">
        <v>190000</v>
      </c>
    </row>
    <row r="86" spans="1:5" x14ac:dyDescent="0.2">
      <c r="A86" s="3">
        <v>46280</v>
      </c>
      <c r="B86" s="4">
        <f>DATE(YEAR(A86),MONTH(A86),1)</f>
        <v>46266</v>
      </c>
      <c r="C86" s="5" t="s">
        <v>14</v>
      </c>
      <c r="D86" s="5" t="s">
        <v>15</v>
      </c>
      <c r="E86" s="6">
        <v>228000</v>
      </c>
    </row>
    <row r="87" spans="1:5" x14ac:dyDescent="0.2">
      <c r="A87" s="3">
        <v>46285</v>
      </c>
      <c r="B87" s="4">
        <f>DATE(YEAR(A87),MONTH(A87),1)</f>
        <v>46266</v>
      </c>
      <c r="C87" s="5" t="s">
        <v>16</v>
      </c>
      <c r="D87" s="5" t="s">
        <v>17</v>
      </c>
      <c r="E87" s="6">
        <v>138000</v>
      </c>
    </row>
    <row r="88" spans="1:5" x14ac:dyDescent="0.2">
      <c r="A88" s="3">
        <v>46287</v>
      </c>
      <c r="B88" s="4">
        <f>DATE(YEAR(A88),MONTH(A88),1)</f>
        <v>46266</v>
      </c>
      <c r="C88" s="5" t="s">
        <v>18</v>
      </c>
      <c r="D88" s="5" t="s">
        <v>19</v>
      </c>
      <c r="E88" s="6">
        <v>99000</v>
      </c>
    </row>
    <row r="89" spans="1:5" x14ac:dyDescent="0.2">
      <c r="A89" s="3">
        <v>46290</v>
      </c>
      <c r="B89" s="4">
        <f>DATE(YEAR(A89),MONTH(A89),1)</f>
        <v>46266</v>
      </c>
      <c r="C89" s="5" t="s">
        <v>20</v>
      </c>
      <c r="D89" s="5" t="s">
        <v>21</v>
      </c>
      <c r="E89" s="6">
        <v>119000</v>
      </c>
    </row>
    <row r="90" spans="1:5" x14ac:dyDescent="0.2">
      <c r="A90" s="3">
        <v>46296</v>
      </c>
      <c r="B90" s="4">
        <f>DATE(YEAR(A90),MONTH(A90),1)</f>
        <v>46296</v>
      </c>
      <c r="C90" s="5" t="s">
        <v>6</v>
      </c>
      <c r="D90" s="5" t="s">
        <v>7</v>
      </c>
      <c r="E90" s="6">
        <v>945000</v>
      </c>
    </row>
    <row r="91" spans="1:5" x14ac:dyDescent="0.2">
      <c r="A91" s="3">
        <v>46298</v>
      </c>
      <c r="B91" s="4">
        <f>DATE(YEAR(A91),MONTH(A91),1)</f>
        <v>46296</v>
      </c>
      <c r="C91" s="5" t="s">
        <v>9</v>
      </c>
      <c r="D91" s="5" t="s">
        <v>10</v>
      </c>
      <c r="E91" s="6">
        <v>394000</v>
      </c>
    </row>
    <row r="92" spans="1:5" x14ac:dyDescent="0.2">
      <c r="A92" s="3">
        <v>46307</v>
      </c>
      <c r="B92" s="4">
        <f>DATE(YEAR(A92),MONTH(A92),1)</f>
        <v>46296</v>
      </c>
      <c r="C92" s="5" t="s">
        <v>9</v>
      </c>
      <c r="D92" s="5" t="s">
        <v>11</v>
      </c>
      <c r="E92" s="6">
        <v>196000</v>
      </c>
    </row>
    <row r="93" spans="1:5" x14ac:dyDescent="0.2">
      <c r="A93" s="3">
        <v>46303</v>
      </c>
      <c r="B93" s="4">
        <f>DATE(YEAR(A93),MONTH(A93),1)</f>
        <v>46296</v>
      </c>
      <c r="C93" s="5" t="s">
        <v>12</v>
      </c>
      <c r="D93" s="5" t="s">
        <v>13</v>
      </c>
      <c r="E93" s="6">
        <v>174000</v>
      </c>
    </row>
    <row r="94" spans="1:5" x14ac:dyDescent="0.2">
      <c r="A94" s="3">
        <v>46310</v>
      </c>
      <c r="B94" s="4">
        <f>DATE(YEAR(A94),MONTH(A94),1)</f>
        <v>46296</v>
      </c>
      <c r="C94" s="5" t="s">
        <v>14</v>
      </c>
      <c r="D94" s="5" t="s">
        <v>15</v>
      </c>
      <c r="E94" s="6">
        <v>240000</v>
      </c>
    </row>
    <row r="95" spans="1:5" x14ac:dyDescent="0.2">
      <c r="A95" s="3">
        <v>46315</v>
      </c>
      <c r="B95" s="4">
        <f>DATE(YEAR(A95),MONTH(A95),1)</f>
        <v>46296</v>
      </c>
      <c r="C95" s="5" t="s">
        <v>16</v>
      </c>
      <c r="D95" s="5" t="s">
        <v>17</v>
      </c>
      <c r="E95" s="6">
        <v>131000</v>
      </c>
    </row>
    <row r="96" spans="1:5" x14ac:dyDescent="0.2">
      <c r="A96" s="3">
        <v>46317</v>
      </c>
      <c r="B96" s="4">
        <f>DATE(YEAR(A96),MONTH(A96),1)</f>
        <v>46296</v>
      </c>
      <c r="C96" s="5" t="s">
        <v>18</v>
      </c>
      <c r="D96" s="5" t="s">
        <v>19</v>
      </c>
      <c r="E96" s="6">
        <v>103000</v>
      </c>
    </row>
    <row r="97" spans="1:5" x14ac:dyDescent="0.2">
      <c r="A97" s="3">
        <v>46320</v>
      </c>
      <c r="B97" s="4">
        <f>DATE(YEAR(A97),MONTH(A97),1)</f>
        <v>46296</v>
      </c>
      <c r="C97" s="5" t="s">
        <v>20</v>
      </c>
      <c r="D97" s="5" t="s">
        <v>21</v>
      </c>
      <c r="E97" s="6">
        <v>120000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Normal="100" workbookViewId="0"/>
  </sheetViews>
  <sheetFormatPr defaultColWidth="8.7421875" defaultRowHeight="15" x14ac:dyDescent="0.2"/>
  <cols>
    <col min="1" max="3" width="13.98828125" customWidth="1"/>
    <col min="4" max="4" width="9.01171875" customWidth="1"/>
    <col min="5" max="6" width="18.0234375" customWidth="1"/>
    <col min="7" max="7" width="16.0078125" customWidth="1"/>
    <col min="8" max="8" width="11.97265625" customWidth="1"/>
  </cols>
  <sheetData>
    <row r="1" spans="1:8" ht="18" x14ac:dyDescent="0.2">
      <c r="A1" s="8" t="s">
        <v>22</v>
      </c>
    </row>
    <row r="3" spans="1:8" x14ac:dyDescent="0.2">
      <c r="A3" s="9" t="s">
        <v>1</v>
      </c>
      <c r="B3" s="9" t="s">
        <v>23</v>
      </c>
      <c r="C3" s="9" t="s">
        <v>24</v>
      </c>
      <c r="D3" s="9" t="s">
        <v>25</v>
      </c>
      <c r="F3" s="9" t="s">
        <v>2</v>
      </c>
      <c r="G3" s="9" t="s">
        <v>26</v>
      </c>
      <c r="H3" s="9" t="s">
        <v>27</v>
      </c>
    </row>
    <row r="4" spans="1:8" x14ac:dyDescent="0.2">
      <c r="A4" s="4">
        <f>DATE(2025,11,1)</f>
        <v>45962</v>
      </c>
      <c r="B4" s="10">
        <f>SUMIFS(Datos!$E$2:$E$97,Datos!$B$2:$B$97,A4)</f>
        <v>2103000</v>
      </c>
      <c r="C4" s="10"/>
      <c r="D4" s="5">
        <v>1</v>
      </c>
      <c r="F4" s="5" t="s">
        <v>6</v>
      </c>
      <c r="G4" s="10">
        <f>SUMIFS(Datos!$E$2:$E$97,Datos!$C$2:$C$97,F4)</f>
        <v>11250000</v>
      </c>
      <c r="H4" s="11">
        <f>G4/SUM($G$4:$G$10)</f>
        <v>0.41902562574493446</v>
      </c>
    </row>
    <row r="5" spans="1:8" x14ac:dyDescent="0.2">
      <c r="A5" s="4">
        <f>DATE(2025,12,1)</f>
        <v>45992</v>
      </c>
      <c r="B5" s="10">
        <f>SUMIFS(Datos!$E$2:$E$97,Datos!$B$2:$B$97,A5)</f>
        <v>2255000</v>
      </c>
      <c r="C5" s="10"/>
      <c r="D5" s="5">
        <v>2</v>
      </c>
      <c r="F5" s="5" t="s">
        <v>9</v>
      </c>
      <c r="G5" s="10">
        <f>SUMIFS(Datos!$E$2:$E$97,Datos!$C$2:$C$97,F5)</f>
        <v>6915000</v>
      </c>
      <c r="H5" s="11">
        <f>G5/SUM($G$4:$G$10)</f>
        <v>0.25756108462455302</v>
      </c>
    </row>
    <row r="6" spans="1:8" x14ac:dyDescent="0.2">
      <c r="A6" s="4">
        <f>DATE(2026,1,1)</f>
        <v>46023</v>
      </c>
      <c r="B6" s="10">
        <f>SUMIFS(Datos!$E$2:$E$97,Datos!$B$2:$B$97,A6)</f>
        <v>2194000</v>
      </c>
      <c r="C6" s="10"/>
      <c r="D6" s="5">
        <v>3</v>
      </c>
      <c r="F6" s="5" t="s">
        <v>12</v>
      </c>
      <c r="G6" s="10">
        <f>SUMIFS(Datos!$E$2:$E$97,Datos!$C$2:$C$97,F6)</f>
        <v>2007000</v>
      </c>
      <c r="H6" s="11">
        <f>G6/SUM($G$4:$G$10)</f>
        <v>7.4754171632896299E-2</v>
      </c>
    </row>
    <row r="7" spans="1:8" x14ac:dyDescent="0.2">
      <c r="A7" s="4">
        <f>DATE(2026,2,1)</f>
        <v>46054</v>
      </c>
      <c r="B7" s="10">
        <f>SUMIFS(Datos!$E$2:$E$97,Datos!$B$2:$B$97,A7)</f>
        <v>2196000</v>
      </c>
      <c r="C7" s="10"/>
      <c r="D7" s="5">
        <v>4</v>
      </c>
      <c r="F7" s="5" t="s">
        <v>14</v>
      </c>
      <c r="G7" s="10">
        <f>SUMIFS(Datos!$E$2:$E$97,Datos!$C$2:$C$97,F7)</f>
        <v>2669000</v>
      </c>
      <c r="H7" s="11">
        <f>G7/SUM($G$4:$G$10)</f>
        <v>9.9411501787842665E-2</v>
      </c>
    </row>
    <row r="8" spans="1:8" x14ac:dyDescent="0.2">
      <c r="A8" s="4">
        <f>DATE(2026,3,1)</f>
        <v>46082</v>
      </c>
      <c r="B8" s="10">
        <f>SUMIFS(Datos!$E$2:$E$97,Datos!$B$2:$B$97,A8)</f>
        <v>2258000</v>
      </c>
      <c r="C8" s="10"/>
      <c r="D8" s="5">
        <v>5</v>
      </c>
      <c r="F8" s="5" t="s">
        <v>16</v>
      </c>
      <c r="G8" s="10">
        <f>SUMIFS(Datos!$E$2:$E$97,Datos!$C$2:$C$97,F8)</f>
        <v>1581000</v>
      </c>
      <c r="H8" s="11">
        <f>G8/SUM($G$4:$G$10)</f>
        <v>5.8887067938021453E-2</v>
      </c>
    </row>
    <row r="9" spans="1:8" x14ac:dyDescent="0.2">
      <c r="A9" s="4">
        <f>DATE(2026,4,1)</f>
        <v>46113</v>
      </c>
      <c r="B9" s="10">
        <f>SUMIFS(Datos!$E$2:$E$97,Datos!$B$2:$B$97,A9)</f>
        <v>2254000</v>
      </c>
      <c r="C9" s="10"/>
      <c r="D9" s="5">
        <v>6</v>
      </c>
      <c r="F9" s="5" t="s">
        <v>18</v>
      </c>
      <c r="G9" s="10">
        <f>SUMIFS(Datos!$E$2:$E$97,Datos!$C$2:$C$97,F9)</f>
        <v>1142000</v>
      </c>
      <c r="H9" s="11">
        <f>G9/SUM($G$4:$G$10)</f>
        <v>4.2535756853396903E-2</v>
      </c>
    </row>
    <row r="10" spans="1:8" x14ac:dyDescent="0.2">
      <c r="A10" s="4">
        <f>DATE(2026,5,1)</f>
        <v>46143</v>
      </c>
      <c r="B10" s="10">
        <f>SUMIFS(Datos!$E$2:$E$97,Datos!$B$2:$B$97,A10)</f>
        <v>2188000</v>
      </c>
      <c r="C10" s="10"/>
      <c r="D10" s="5">
        <v>7</v>
      </c>
      <c r="F10" s="5" t="s">
        <v>20</v>
      </c>
      <c r="G10" s="10">
        <f>SUMIFS(Datos!$E$2:$E$97,Datos!$C$2:$C$97,F10)</f>
        <v>1284000</v>
      </c>
      <c r="H10" s="11">
        <f>G10/SUM($G$4:$G$10)</f>
        <v>4.7824791418355182E-2</v>
      </c>
    </row>
    <row r="11" spans="1:8" x14ac:dyDescent="0.2">
      <c r="A11" s="4">
        <f>DATE(2026,6,1)</f>
        <v>46174</v>
      </c>
      <c r="B11" s="10">
        <f>SUMIFS(Datos!$E$2:$E$97,Datos!$B$2:$B$97,A11)</f>
        <v>2240000</v>
      </c>
      <c r="C11" s="10"/>
      <c r="D11" s="5">
        <v>8</v>
      </c>
      <c r="F11" s="2" t="s">
        <v>28</v>
      </c>
      <c r="G11" s="12">
        <f>SUM(G4:G10)</f>
        <v>26848000</v>
      </c>
    </row>
    <row r="12" spans="1:8" x14ac:dyDescent="0.2">
      <c r="A12" s="4">
        <f>DATE(2026,7,1)</f>
        <v>46204</v>
      </c>
      <c r="B12" s="10">
        <f>SUMIFS(Datos!$E$2:$E$97,Datos!$B$2:$B$97,A12)</f>
        <v>2259000</v>
      </c>
      <c r="C12" s="10"/>
      <c r="D12" s="5">
        <v>9</v>
      </c>
    </row>
    <row r="13" spans="1:8" x14ac:dyDescent="0.2">
      <c r="A13" s="4">
        <f>DATE(2026,8,1)</f>
        <v>46235</v>
      </c>
      <c r="B13" s="10">
        <f>SUMIFS(Datos!$E$2:$E$97,Datos!$B$2:$B$97,A13)</f>
        <v>2289000</v>
      </c>
      <c r="C13" s="10"/>
      <c r="D13" s="5">
        <v>10</v>
      </c>
    </row>
    <row r="14" spans="1:8" x14ac:dyDescent="0.2">
      <c r="A14" s="4">
        <f>DATE(2026,9,1)</f>
        <v>46266</v>
      </c>
      <c r="B14" s="10">
        <f>SUMIFS(Datos!$E$2:$E$97,Datos!$B$2:$B$97,A14)</f>
        <v>2309000</v>
      </c>
      <c r="C14" s="10"/>
      <c r="D14" s="5">
        <v>11</v>
      </c>
    </row>
    <row r="15" spans="1:8" x14ac:dyDescent="0.2">
      <c r="A15" s="4">
        <f>DATE(2026,10,1)</f>
        <v>46296</v>
      </c>
      <c r="B15" s="10">
        <f>SUMIFS(Datos!$E$2:$E$97,Datos!$B$2:$B$97,A15)</f>
        <v>2303000</v>
      </c>
      <c r="C15" s="10">
        <f>B15</f>
        <v>2303000</v>
      </c>
      <c r="D15" s="5">
        <v>12</v>
      </c>
    </row>
    <row r="16" spans="1:8" x14ac:dyDescent="0.2">
      <c r="A16" s="4">
        <f>DATE(YEAR(A15),MONTH(A15)+1,1)</f>
        <v>46327</v>
      </c>
      <c r="B16" s="10"/>
      <c r="C16" s="10">
        <f>ROUND(FORECAST(D16,$B$4:$B$15,$D$4:$D$15),0)</f>
        <v>2317924</v>
      </c>
      <c r="D16" s="5">
        <v>13</v>
      </c>
    </row>
    <row r="17" spans="1:5" x14ac:dyDescent="0.2">
      <c r="A17" s="4">
        <f>DATE(YEAR(A16),MONTH(A16)+1,1)</f>
        <v>46357</v>
      </c>
      <c r="B17" s="10"/>
      <c r="C17" s="10">
        <f>ROUND(FORECAST(D17,$B$4:$B$15,$D$4:$D$15),0)</f>
        <v>2330323</v>
      </c>
      <c r="D17" s="5">
        <v>14</v>
      </c>
    </row>
    <row r="18" spans="1:5" x14ac:dyDescent="0.2">
      <c r="A18" s="4">
        <f>DATE(YEAR(A17),MONTH(A17)+1,1)</f>
        <v>46388</v>
      </c>
      <c r="B18" s="10"/>
      <c r="C18" s="10">
        <f>ROUND(FORECAST(D18,$B$4:$B$15,$D$4:$D$15),0)</f>
        <v>2342721</v>
      </c>
      <c r="D18" s="5">
        <v>15</v>
      </c>
    </row>
    <row r="19" spans="1:5" x14ac:dyDescent="0.2">
      <c r="A19" s="13" t="s">
        <v>29</v>
      </c>
    </row>
    <row r="22" spans="1:5" x14ac:dyDescent="0.2">
      <c r="A22" s="14" t="s">
        <v>30</v>
      </c>
    </row>
    <row r="23" spans="1:5" x14ac:dyDescent="0.2">
      <c r="A23" s="15" t="s">
        <v>31</v>
      </c>
      <c r="E23" s="16">
        <f>INDEX(A16:A18,MATCH(MAX(C16:C18),C16:C18,0))</f>
        <v>46388</v>
      </c>
    </row>
    <row r="24" spans="1:5" x14ac:dyDescent="0.2">
      <c r="A24" s="15" t="s">
        <v>32</v>
      </c>
      <c r="E24" s="17">
        <f>MAX(C16:C18)</f>
        <v>2342721</v>
      </c>
    </row>
    <row r="25" spans="1:5" x14ac:dyDescent="0.2">
      <c r="A25" s="15" t="s">
        <v>33</v>
      </c>
      <c r="E25" s="18" t="str">
        <f>INDEX(F4:F10,MATCH(MAX(G4:G10),G4:G10,0))</f>
        <v>Vivienda</v>
      </c>
    </row>
    <row r="26" spans="1:5" x14ac:dyDescent="0.2">
      <c r="A26" s="15" t="s">
        <v>34</v>
      </c>
      <c r="E26" s="17">
        <f>AVERAGE(B4:B15)</f>
        <v>2237333.3333333335</v>
      </c>
    </row>
    <row r="27" spans="1:5" x14ac:dyDescent="0.2">
      <c r="A27" s="15" t="s">
        <v>35</v>
      </c>
      <c r="E27" s="16">
        <f>INDEX(A4:A15,MATCH(MAX(B4:B15),B4:B15,0))</f>
        <v>46266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zoomScaleNormal="100" workbookViewId="0"/>
  </sheetViews>
  <sheetFormatPr defaultColWidth="8.7421875" defaultRowHeight="15" x14ac:dyDescent="0.2"/>
  <cols>
    <col min="1" max="1" width="110.0390625" customWidth="1"/>
  </cols>
  <sheetData>
    <row r="1" spans="1:1" ht="18" x14ac:dyDescent="0.2">
      <c r="A1" s="8" t="s">
        <v>36</v>
      </c>
    </row>
    <row r="3" spans="1:1" x14ac:dyDescent="0.2">
      <c r="A3" s="2" t="s">
        <v>37</v>
      </c>
    </row>
    <row r="4" spans="1:1" x14ac:dyDescent="0.2">
      <c r="A4" s="15" t="s">
        <v>38</v>
      </c>
    </row>
    <row r="6" spans="1:1" x14ac:dyDescent="0.2">
      <c r="A6" s="2" t="s">
        <v>39</v>
      </c>
    </row>
    <row r="7" spans="1:1" x14ac:dyDescent="0.2">
      <c r="A7" s="15" t="str">
        <f>"Mes con mayor gasto proyectado: "&amp;CHOOSE(MONTH(Resumen!E23),"enero","febrero","marzo","abril","mayo","junio","julio","agosto","septiembre","octubre","noviembre","diciembre")&amp;" "&amp;YEAR(Resumen!E23)&amp;" (aprox. $"&amp;TEXT(Resumen!E24,"#,##0")&amp;" COP)."</f>
        <v>Mes con mayor gasto proyectado: enero 2027 (aprox. $2,342,721 COP).</v>
      </c>
    </row>
    <row r="8" spans="1:1" x14ac:dyDescent="0.2">
      <c r="A8" s="15" t="str">
        <f>"Categoría con más gasto: "&amp;Resumen!E25&amp;" ("&amp;TEXT(MAX(Resumen!H4:H10),"0.0%")&amp;" del total de 12 meses)."</f>
        <v>Categoría con más gasto: Vivienda (41.9% del total de 12 meses).</v>
      </c>
    </row>
    <row r="9" spans="1:1" x14ac:dyDescent="0.2">
      <c r="A9" s="15" t="str">
        <f>"Promedio mensual real: $"&amp;TEXT(Resumen!E26,"#,##0")&amp;" COP."</f>
        <v>Promedio mensual real: $2,237,333 COP.</v>
      </c>
    </row>
    <row r="11" spans="1:1" x14ac:dyDescent="0.2">
      <c r="A11" s="2" t="s">
        <v>40</v>
      </c>
    </row>
    <row r="12" spans="1:1" ht="24.75" x14ac:dyDescent="0.2">
      <c r="A12" s="19" t="s">
        <v>41</v>
      </c>
    </row>
    <row r="13" spans="1:1" x14ac:dyDescent="0.2">
      <c r="A13" s="19" t="s">
        <v>42</v>
      </c>
    </row>
    <row r="14" spans="1:1" ht="24.75" x14ac:dyDescent="0.2">
      <c r="A14" s="19" t="s">
        <v>43</v>
      </c>
    </row>
    <row r="15" spans="1:1" x14ac:dyDescent="0.2">
      <c r="A15" s="19" t="s">
        <v>44</v>
      </c>
    </row>
    <row r="16" spans="1:1" x14ac:dyDescent="0.2">
      <c r="A16" s="19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/>
  </sheetViews>
  <sheetFormatPr defaultColWidth="8.7421875" defaultRowHeight="15" x14ac:dyDescent="0.2"/>
  <cols>
    <col min="1" max="1" width="29.99609375" customWidth="1"/>
    <col min="2" max="2" width="94.97265625" customWidth="1"/>
  </cols>
  <sheetData>
    <row r="1" spans="1:2" ht="18" x14ac:dyDescent="0.2">
      <c r="A1" s="8" t="s">
        <v>46</v>
      </c>
    </row>
    <row r="3" spans="1:2" x14ac:dyDescent="0.2">
      <c r="A3" s="20" t="s">
        <v>47</v>
      </c>
      <c r="B3" s="19" t="s">
        <v>48</v>
      </c>
    </row>
    <row r="4" spans="1:2" x14ac:dyDescent="0.2">
      <c r="A4" s="20" t="s">
        <v>37</v>
      </c>
      <c r="B4" s="19" t="s">
        <v>49</v>
      </c>
    </row>
    <row r="5" spans="1:2" ht="24.75" x14ac:dyDescent="0.2">
      <c r="A5" s="20" t="s">
        <v>50</v>
      </c>
      <c r="B5" s="19" t="s">
        <v>51</v>
      </c>
    </row>
    <row r="6" spans="1:2" ht="36" x14ac:dyDescent="0.2">
      <c r="A6" s="20" t="s">
        <v>52</v>
      </c>
      <c r="B6" s="19" t="s">
        <v>53</v>
      </c>
    </row>
    <row r="7" spans="1:2" ht="36" x14ac:dyDescent="0.2">
      <c r="A7" s="20" t="s">
        <v>54</v>
      </c>
      <c r="B7" s="19" t="s">
        <v>55</v>
      </c>
    </row>
    <row r="8" spans="1:2" x14ac:dyDescent="0.2">
      <c r="A8" s="20" t="s">
        <v>56</v>
      </c>
      <c r="B8" s="19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Resumen</vt:lpstr>
      <vt:lpstr>Interpretación</vt:lpstr>
      <vt:lpstr>Documentación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2026-10-16T03:37:43Z</dcterms:created>
  <dcterms:modified xsi:type="dcterms:W3CDTF">2026-10-16T03:37:44Z</dcterms:modified>
  <dc:language>en-US</dc:language>
</cp:coreProperties>
</file>